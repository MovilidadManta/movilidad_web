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831"/>
  <workbookPr defaultThemeVersion="124226"/>
  <mc:AlternateContent xmlns:mc="http://schemas.openxmlformats.org/markup-compatibility/2006">
    <mc:Choice Requires="x15">
      <x15ac:absPath xmlns:x15ac="http://schemas.microsoft.com/office/spreadsheetml/2010/11/ac" url="C:\Users\GEMA\Downloads\"/>
    </mc:Choice>
  </mc:AlternateContent>
  <xr:revisionPtr revIDLastSave="0" documentId="8_{409A072F-74FA-4236-B738-DEFB996DB4A3}" xr6:coauthVersionLast="47" xr6:coauthVersionMax="47" xr10:uidLastSave="{00000000-0000-0000-0000-000000000000}"/>
  <bookViews>
    <workbookView xWindow="-120" yWindow="-120" windowWidth="20730" windowHeight="11160" xr2:uid="{00000000-000D-0000-FFFF-FFFF00000000}"/>
  </bookViews>
  <sheets>
    <sheet name="Resumen" sheetId="1" r:id="rId1"/>
    <sheet name="Tabla" sheetId="3" r:id="rId2"/>
  </sheets>
  <definedNames>
    <definedName name="_xlnm.Print_Area" localSheetId="0">Resumen!$A$1:$L$27</definedName>
  </definedNames>
  <calcPr calcId="191029" calcOnSave="0"/>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E3" i="1" l="1"/>
  <c r="D34" i="3"/>
  <c r="D44" i="1"/>
  <c r="F44" i="1" s="1"/>
  <c r="D45" i="1"/>
  <c r="D46" i="1"/>
  <c r="D50" i="3"/>
  <c r="D9" i="1" l="1"/>
  <c r="D32" i="1"/>
  <c r="B45" i="3"/>
  <c r="B44" i="3"/>
  <c r="B43" i="3"/>
  <c r="B42" i="3"/>
  <c r="B41" i="3"/>
  <c r="D42" i="3" s="1"/>
  <c r="D36" i="3"/>
  <c r="D35" i="3"/>
  <c r="B23" i="3"/>
  <c r="B24" i="3"/>
  <c r="B25" i="3"/>
  <c r="B26" i="3"/>
  <c r="B27" i="3"/>
  <c r="B28" i="3"/>
  <c r="B29" i="3"/>
  <c r="B30" i="3"/>
  <c r="B22" i="3"/>
  <c r="E32" i="1" l="1"/>
  <c r="E34" i="1" s="1"/>
  <c r="D49" i="3"/>
  <c r="D51" i="3" s="1"/>
  <c r="D33" i="1"/>
  <c r="D34" i="1" s="1"/>
  <c r="D43" i="3"/>
  <c r="D44" i="3" s="1"/>
  <c r="D45" i="3" s="1"/>
  <c r="D23" i="3"/>
  <c r="D24" i="3" s="1"/>
  <c r="D25" i="3" s="1"/>
  <c r="D26" i="3" s="1"/>
  <c r="D27" i="3" s="1"/>
  <c r="D28" i="3" s="1"/>
  <c r="D29" i="3" s="1"/>
  <c r="D30" i="3" s="1"/>
  <c r="D5" i="3"/>
  <c r="D52" i="3" l="1"/>
  <c r="D53" i="3"/>
  <c r="F32" i="1"/>
  <c r="F34" i="1" s="1"/>
  <c r="B38" i="3"/>
  <c r="D16" i="3"/>
  <c r="D36" i="1" l="1"/>
  <c r="F43" i="3"/>
  <c r="G43" i="3" s="1"/>
  <c r="F41" i="3"/>
  <c r="G41" i="3" s="1"/>
  <c r="F40" i="3"/>
  <c r="G40" i="3" s="1"/>
  <c r="F45" i="3"/>
  <c r="G45" i="3" s="1"/>
  <c r="F42" i="3"/>
  <c r="G42" i="3" s="1"/>
  <c r="F44" i="3"/>
  <c r="G44" i="3" s="1"/>
  <c r="C19" i="3"/>
  <c r="H22" i="3" s="1"/>
  <c r="I22" i="3" s="1"/>
  <c r="H23" i="3" l="1"/>
  <c r="I23" i="3" s="1"/>
  <c r="H21" i="3"/>
  <c r="I21" i="3" s="1"/>
  <c r="H24" i="3"/>
  <c r="I24" i="3" s="1"/>
  <c r="H28" i="3"/>
  <c r="I28" i="3" s="1"/>
  <c r="H27" i="3"/>
  <c r="I27" i="3" s="1"/>
  <c r="H29" i="3"/>
  <c r="I29" i="3" s="1"/>
  <c r="H30" i="3"/>
  <c r="I30" i="3" s="1"/>
  <c r="H25" i="3"/>
  <c r="I25" i="3" s="1"/>
  <c r="H26" i="3"/>
  <c r="I26" i="3" s="1"/>
  <c r="G46" i="3"/>
  <c r="E35" i="1" s="1"/>
  <c r="D7" i="1" s="1"/>
  <c r="D15" i="3"/>
  <c r="I31" i="3" l="1"/>
  <c r="F35" i="1" s="1"/>
  <c r="D8" i="1" s="1"/>
  <c r="B12" i="3"/>
  <c r="B11" i="3"/>
  <c r="B10" i="3"/>
  <c r="B9" i="3"/>
  <c r="B8" i="3"/>
  <c r="B7" i="3"/>
  <c r="B6" i="3"/>
  <c r="B5" i="3"/>
  <c r="D6" i="3" s="1"/>
  <c r="D7" i="3" l="1"/>
  <c r="D8" i="3" s="1"/>
  <c r="D9" i="3" s="1"/>
  <c r="D10" i="3" l="1"/>
  <c r="D11" i="3" s="1"/>
  <c r="D12" i="3" s="1"/>
  <c r="B2" i="3" l="1"/>
  <c r="F4" i="3" s="1"/>
  <c r="G4" i="3" s="1"/>
  <c r="B19" i="3"/>
  <c r="F8" i="3" l="1"/>
  <c r="G8" i="3" s="1"/>
  <c r="F7" i="3"/>
  <c r="G7" i="3" s="1"/>
  <c r="F9" i="3"/>
  <c r="G9" i="3" s="1"/>
  <c r="F11" i="3"/>
  <c r="G11" i="3" s="1"/>
  <c r="F12" i="3"/>
  <c r="G12" i="3" s="1"/>
  <c r="F5" i="3"/>
  <c r="G5" i="3" s="1"/>
  <c r="F10" i="3"/>
  <c r="G10" i="3" s="1"/>
  <c r="F6" i="3"/>
  <c r="G6" i="3" s="1"/>
  <c r="F23" i="3"/>
  <c r="G23" i="3" s="1"/>
  <c r="F30" i="3"/>
  <c r="G30" i="3" s="1"/>
  <c r="F29" i="3"/>
  <c r="G29" i="3" s="1"/>
  <c r="F22" i="3"/>
  <c r="G22" i="3" s="1"/>
  <c r="F27" i="3"/>
  <c r="G27" i="3" s="1"/>
  <c r="F21" i="3"/>
  <c r="G21" i="3" s="1"/>
  <c r="F28" i="3"/>
  <c r="G28" i="3" s="1"/>
  <c r="F25" i="3"/>
  <c r="G25" i="3" s="1"/>
  <c r="F26" i="3"/>
  <c r="G26" i="3" s="1"/>
  <c r="F24" i="3"/>
  <c r="G24" i="3" s="1"/>
  <c r="G13" i="3" l="1"/>
  <c r="G31" i="3"/>
  <c r="D35" i="1" s="1"/>
  <c r="D38" i="1" s="1"/>
  <c r="D6" i="1" l="1"/>
  <c r="D40" i="1"/>
</calcChain>
</file>

<file path=xl/sharedStrings.xml><?xml version="1.0" encoding="utf-8"?>
<sst xmlns="http://schemas.openxmlformats.org/spreadsheetml/2006/main" count="81" uniqueCount="62">
  <si>
    <t>Valor de ingresos gravables</t>
  </si>
  <si>
    <t>Aporte personal</t>
  </si>
  <si>
    <t xml:space="preserve">Gastos personales </t>
  </si>
  <si>
    <t>Base imponible</t>
  </si>
  <si>
    <t>Impuesto a la renta causado</t>
  </si>
  <si>
    <t>FB</t>
  </si>
  <si>
    <t>EXCESO</t>
  </si>
  <si>
    <t>BASICO</t>
  </si>
  <si>
    <t>IMPUESTO</t>
  </si>
  <si>
    <t>UBICACIÓN</t>
  </si>
  <si>
    <t>IMPUESTO A LA RENTA</t>
  </si>
  <si>
    <t>a</t>
  </si>
  <si>
    <t>b</t>
  </si>
  <si>
    <t>c</t>
  </si>
  <si>
    <t>d</t>
  </si>
  <si>
    <t>e</t>
  </si>
  <si>
    <t>El trabajador que, en el mismo período fiscal haya reiniciado su actividad con otro empleador, estará en la obligación de entregar el formulario 107 entregado por su anterior empleador a su nuevo empleador, para que aquel, efectúe el cálculo de las retenciones a realizarse en lo que resta del año.</t>
  </si>
  <si>
    <t>El valor de ingresos gravables debe incluir la información registrada en el campo 349 del Formulario 107 entregado por el anterior empleador, y/o con la proyección de ingresos de otros empleadores actuales, en caso de que el empleador que registra y entrega el presente formulario haya efectuado la retención por los ingresos percibidos con éstos últimos.</t>
  </si>
  <si>
    <t xml:space="preserve"> La deducción total por gastos personales no deberá superar el 50% del total de ingresos gravados, y en ningún caso será mayor al equivalente a 1.3 veces la fracción básica exenta de Impuesto a la Renta de personas naturales.</t>
  </si>
  <si>
    <t>Resolución No. NAC-DGER2008-0566 RO No. 342 el 21 de mayo del 2008, el beneficio de la exoneración por tercera edad se configura a partir del ejercicio en el cual el beneficiario cumpla los 65 años de edad. El monto de la exoneración será el equivalente al doble de la fracción básica exenta de Impuesto a la Renta.</t>
  </si>
  <si>
    <t>CALCULO DE IMPUESTO A LA RENTA Y RETENCION DEL  EMPLEADO</t>
  </si>
  <si>
    <t>AÑO AL QUE CORRESPONDE:</t>
  </si>
  <si>
    <t>BASE IMPONIBLE:</t>
  </si>
  <si>
    <t>www.jezl-auditores.com</t>
  </si>
  <si>
    <t>Maximo deducible</t>
  </si>
  <si>
    <t>Manual del experto tributario</t>
  </si>
  <si>
    <t>Máximo para deducción</t>
  </si>
  <si>
    <t>Enfermedad catástrofica</t>
  </si>
  <si>
    <t>http://bit.ly/2FHeNwQ</t>
  </si>
  <si>
    <t xml:space="preserve"> El trabajador deberá presentar el Anexo de Gastos Personales que  cumpla las condiciones establecidas por el Servicio de Rentas Internas.</t>
  </si>
  <si>
    <t>Límite</t>
  </si>
  <si>
    <t>Impuesto a la renta:</t>
  </si>
  <si>
    <t>Si es empleado</t>
  </si>
  <si>
    <t>Empleado</t>
  </si>
  <si>
    <t>No empleado</t>
  </si>
  <si>
    <t> Canasta Familiar Básica (CFB) Refer.</t>
  </si>
  <si>
    <t>RIMPE</t>
  </si>
  <si>
    <t>Excluyente</t>
  </si>
  <si>
    <t>Si es RIMPE</t>
  </si>
  <si>
    <t>Si no es empleado ni RIMPE</t>
  </si>
  <si>
    <t>Una persona gana un mensual de:</t>
  </si>
  <si>
    <t>Cálculo de la deducción:</t>
  </si>
  <si>
    <t>Gastos deducibles</t>
  </si>
  <si>
    <t xml:space="preserve">Menor valor </t>
  </si>
  <si>
    <t>L = CBF*7</t>
  </si>
  <si>
    <t>Rebaja de IR (a)</t>
  </si>
  <si>
    <t>Rebaja de IR (b)</t>
  </si>
  <si>
    <t>Rebaja de impuesto a la renta</t>
  </si>
  <si>
    <t>Valor a retener</t>
  </si>
  <si>
    <t xml:space="preserve">Retención mensual </t>
  </si>
  <si>
    <t>Tiene ingresos exentos anuales  por:</t>
  </si>
  <si>
    <t>Anual</t>
  </si>
  <si>
    <t>Rebaja (ingresos menores a 24,090)</t>
  </si>
  <si>
    <t>Rebaja (ingresos mayores a 24,090)</t>
  </si>
  <si>
    <t>Ingresos totales</t>
  </si>
  <si>
    <t>Retenciones efectuadas</t>
  </si>
  <si>
    <t>Meses para retener</t>
  </si>
  <si>
    <t>Decimo tercero, cuarto, fondo de reserva</t>
  </si>
  <si>
    <t>Tiene gastos personales anuales de:</t>
  </si>
  <si>
    <t>Para casos de cambios en el sueldo</t>
  </si>
  <si>
    <t>Valor de gastos personales sustentados, de preferencia  mayores a CBF*7.</t>
  </si>
  <si>
    <t>Se ha utilizado la CFB de Dic/21, cuando se requiere cámbiela con CBF de Dic/2022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</si>
</sst>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_(* #,##0.00_);_(* \(#,##0.00\);_(* &quot;-&quot;??_);_(@_)"/>
    <numFmt numFmtId="165" formatCode="#,##0.00_ ;[Red]\-#,##0.00\ "/>
    <numFmt numFmtId="166" formatCode="0.0%"/>
    <numFmt numFmtId="167" formatCode="#,##0_ ;[Red]\-#,##0\ "/>
    <numFmt numFmtId="168" formatCode="0_);[Red]\(0\)"/>
  </numFmts>
  <fonts count="7" x14ac:knownFonts="1">
    <font>
      <sz val="11"/>
      <color theme="1"/>
      <name val="Calibri"/>
      <family val="2"/>
      <scheme val="minor"/>
    </font>
    <font>
      <sz val="10"/>
      <name val="Arial"/>
      <family val="2"/>
    </font>
    <font>
      <sz val="11"/>
      <color theme="1"/>
      <name val="Calibri"/>
      <family val="2"/>
      <scheme val="minor"/>
    </font>
    <font>
      <u/>
      <sz val="11"/>
      <color theme="10"/>
      <name val="Calibri"/>
      <family val="2"/>
    </font>
    <font>
      <sz val="11"/>
      <color theme="0"/>
      <name val="Calibri"/>
      <family val="2"/>
      <scheme val="minor"/>
    </font>
    <font>
      <sz val="11"/>
      <color rgb="FFFF0000"/>
      <name val="Calibri"/>
      <family val="2"/>
      <scheme val="minor"/>
    </font>
    <font>
      <b/>
      <sz val="12"/>
      <color theme="0"/>
      <name val="Times New Roman"/>
      <family val="1"/>
    </font>
  </fonts>
  <fills count="8">
    <fill>
      <patternFill patternType="none"/>
    </fill>
    <fill>
      <patternFill patternType="gray125"/>
    </fill>
    <fill>
      <patternFill patternType="solid">
        <fgColor theme="3" tint="0.79998168889431442"/>
        <bgColor indexed="64"/>
      </patternFill>
    </fill>
    <fill>
      <patternFill patternType="solid">
        <fgColor rgb="FFFFFF85"/>
        <bgColor indexed="64"/>
      </patternFill>
    </fill>
    <fill>
      <patternFill patternType="solid">
        <fgColor theme="6" tint="0.59999389629810485"/>
        <bgColor indexed="64"/>
      </patternFill>
    </fill>
    <fill>
      <patternFill patternType="solid">
        <fgColor rgb="FF005024"/>
        <bgColor indexed="64"/>
      </patternFill>
    </fill>
    <fill>
      <patternFill patternType="solid">
        <fgColor rgb="FF00682F"/>
        <bgColor indexed="64"/>
      </patternFill>
    </fill>
    <fill>
      <patternFill patternType="solid">
        <fgColor theme="3" tint="-0.249977111117893"/>
        <bgColor indexed="64"/>
      </patternFill>
    </fill>
  </fills>
  <borders count="1">
    <border>
      <left/>
      <right/>
      <top/>
      <bottom/>
      <diagonal/>
    </border>
  </borders>
  <cellStyleXfs count="4">
    <xf numFmtId="0" fontId="0" fillId="0" borderId="0"/>
    <xf numFmtId="0" fontId="1" fillId="0" borderId="0"/>
    <xf numFmtId="164" fontId="2" fillId="0" borderId="0" applyFont="0" applyFill="0" applyBorder="0" applyAlignment="0" applyProtection="0"/>
    <xf numFmtId="0" fontId="3" fillId="0" borderId="0" applyNumberFormat="0" applyFill="0" applyBorder="0" applyAlignment="0" applyProtection="0">
      <alignment vertical="top"/>
      <protection locked="0"/>
    </xf>
  </cellStyleXfs>
  <cellXfs count="26">
    <xf numFmtId="0" fontId="0" fillId="0" borderId="0" xfId="0"/>
    <xf numFmtId="165" fontId="0" fillId="0" borderId="0" xfId="0" applyNumberFormat="1"/>
    <xf numFmtId="166" fontId="0" fillId="0" borderId="0" xfId="0" applyNumberFormat="1"/>
    <xf numFmtId="167" fontId="0" fillId="0" borderId="0" xfId="0" applyNumberFormat="1"/>
    <xf numFmtId="43" fontId="0" fillId="0" borderId="0" xfId="2" applyNumberFormat="1" applyFont="1"/>
    <xf numFmtId="37" fontId="0" fillId="0" borderId="0" xfId="0" applyNumberFormat="1"/>
    <xf numFmtId="40" fontId="0" fillId="0" borderId="0" xfId="0" applyNumberFormat="1"/>
    <xf numFmtId="0" fontId="0" fillId="2" borderId="0" xfId="0" applyFill="1"/>
    <xf numFmtId="0" fontId="0" fillId="0" borderId="0" xfId="0" applyAlignment="1">
      <alignment vertical="top"/>
    </xf>
    <xf numFmtId="0" fontId="0" fillId="2" borderId="0" xfId="0" applyFill="1" applyAlignment="1">
      <alignment vertical="top"/>
    </xf>
    <xf numFmtId="0" fontId="3" fillId="0" borderId="0" xfId="3" applyAlignment="1" applyProtection="1"/>
    <xf numFmtId="40" fontId="0" fillId="3" borderId="0" xfId="0" applyNumberFormat="1" applyFill="1" applyAlignment="1" applyProtection="1">
      <alignment vertical="top"/>
      <protection locked="0"/>
    </xf>
    <xf numFmtId="37" fontId="4" fillId="0" borderId="0" xfId="0" applyNumberFormat="1" applyFont="1"/>
    <xf numFmtId="165" fontId="4" fillId="0" borderId="0" xfId="0" applyNumberFormat="1" applyFont="1"/>
    <xf numFmtId="165" fontId="5" fillId="0" borderId="0" xfId="0" applyNumberFormat="1" applyFont="1"/>
    <xf numFmtId="10" fontId="0" fillId="0" borderId="0" xfId="0" applyNumberFormat="1"/>
    <xf numFmtId="43" fontId="0" fillId="0" borderId="0" xfId="2" quotePrefix="1" applyNumberFormat="1" applyFont="1"/>
    <xf numFmtId="168" fontId="6" fillId="5" borderId="0" xfId="0" applyNumberFormat="1" applyFont="1" applyFill="1" applyAlignment="1">
      <alignment horizontal="center"/>
    </xf>
    <xf numFmtId="168" fontId="6" fillId="6" borderId="0" xfId="0" applyNumberFormat="1" applyFont="1" applyFill="1" applyAlignment="1">
      <alignment horizontal="center"/>
    </xf>
    <xf numFmtId="165" fontId="4" fillId="7" borderId="0" xfId="0" applyNumberFormat="1" applyFont="1" applyFill="1" applyAlignment="1">
      <alignment horizontal="center"/>
    </xf>
    <xf numFmtId="166" fontId="4" fillId="7" borderId="0" xfId="0" applyNumberFormat="1" applyFont="1" applyFill="1" applyAlignment="1">
      <alignment horizontal="center"/>
    </xf>
    <xf numFmtId="0" fontId="0" fillId="0" borderId="0" xfId="0" applyAlignment="1">
      <alignment wrapText="1"/>
    </xf>
    <xf numFmtId="0" fontId="0" fillId="3" borderId="0" xfId="0" applyFill="1" applyProtection="1">
      <protection locked="0"/>
    </xf>
    <xf numFmtId="0" fontId="0" fillId="0" borderId="0" xfId="0" applyAlignment="1">
      <alignment horizontal="left" wrapText="1"/>
    </xf>
    <xf numFmtId="0" fontId="0" fillId="4" borderId="0" xfId="0" applyFill="1" applyAlignment="1">
      <alignment horizontal="left" wrapText="1"/>
    </xf>
    <xf numFmtId="0" fontId="0" fillId="0" borderId="0" xfId="0" applyAlignment="1">
      <alignment horizontal="center"/>
    </xf>
  </cellXfs>
  <cellStyles count="4">
    <cellStyle name="Hipervínculo" xfId="3" builtinId="8"/>
    <cellStyle name="Millares" xfId="2" builtinId="3"/>
    <cellStyle name="Normal" xfId="0" builtinId="0"/>
    <cellStyle name="Normal 2" xfId="1" xr:uid="{00000000-0005-0000-0000-000003000000}"/>
  </cellStyles>
  <dxfs count="0"/>
  <tableStyles count="0" defaultTableStyle="TableStyleMedium2" defaultPivotStyle="PivotStyleLight16"/>
  <colors>
    <mruColors>
      <color rgb="FF00682F"/>
      <color rgb="FF005024"/>
      <color rgb="FFFFFF9F"/>
      <color rgb="FFFFFF8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hyperlink" Target="http://bit.ly/2FHBDEI" TargetMode="External"/><Relationship Id="rId7" Type="http://schemas.openxmlformats.org/officeDocument/2006/relationships/hyperlink" Target="http://www.normas-go.com" TargetMode="External"/><Relationship Id="rId2" Type="http://schemas.openxmlformats.org/officeDocument/2006/relationships/image" Target="../media/image1.jpeg"/><Relationship Id="rId1" Type="http://schemas.openxmlformats.org/officeDocument/2006/relationships/hyperlink" Target="http://bit.ly/2Drm55o" TargetMode="External"/><Relationship Id="rId6" Type="http://schemas.openxmlformats.org/officeDocument/2006/relationships/image" Target="../media/image3.jpeg"/><Relationship Id="rId5" Type="http://schemas.openxmlformats.org/officeDocument/2006/relationships/hyperlink" Target="http://www.niif-go.com/" TargetMode="External"/><Relationship Id="rId4"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219075</xdr:colOff>
      <xdr:row>33</xdr:row>
      <xdr:rowOff>47625</xdr:rowOff>
    </xdr:from>
    <xdr:to>
      <xdr:col>9</xdr:col>
      <xdr:colOff>47625</xdr:colOff>
      <xdr:row>39</xdr:row>
      <xdr:rowOff>114207</xdr:rowOff>
    </xdr:to>
    <xdr:pic>
      <xdr:nvPicPr>
        <xdr:cNvPr id="2" name="1 Imagen" descr="jezl pequene.JPG">
          <a:hlinkClick xmlns:r="http://schemas.openxmlformats.org/officeDocument/2006/relationships" r:id="rId1" tooltip="Guia de impuestos 2016 25596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4724400" y="3190875"/>
          <a:ext cx="2114550" cy="1209582"/>
        </a:xfrm>
        <a:prstGeom prst="rect">
          <a:avLst/>
        </a:prstGeom>
      </xdr:spPr>
    </xdr:pic>
    <xdr:clientData/>
  </xdr:twoCellAnchor>
  <xdr:twoCellAnchor editAs="oneCell">
    <xdr:from>
      <xdr:col>9</xdr:col>
      <xdr:colOff>481906</xdr:colOff>
      <xdr:row>35</xdr:row>
      <xdr:rowOff>0</xdr:rowOff>
    </xdr:from>
    <xdr:to>
      <xdr:col>10</xdr:col>
      <xdr:colOff>287942</xdr:colOff>
      <xdr:row>37</xdr:row>
      <xdr:rowOff>171442</xdr:rowOff>
    </xdr:to>
    <xdr:pic>
      <xdr:nvPicPr>
        <xdr:cNvPr id="3" name="2 Imagen">
          <a:hlinkClick xmlns:r="http://schemas.openxmlformats.org/officeDocument/2006/relationships" r:id="rId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bwMode="auto">
        <a:xfrm>
          <a:off x="8035231" y="4038604"/>
          <a:ext cx="568036" cy="5524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314325</xdr:colOff>
      <xdr:row>4</xdr:row>
      <xdr:rowOff>49704</xdr:rowOff>
    </xdr:from>
    <xdr:to>
      <xdr:col>6</xdr:col>
      <xdr:colOff>408664</xdr:colOff>
      <xdr:row>27</xdr:row>
      <xdr:rowOff>57150</xdr:rowOff>
    </xdr:to>
    <xdr:pic>
      <xdr:nvPicPr>
        <xdr:cNvPr id="5" name="4 Imagen">
          <a:hlinkClick xmlns:r="http://schemas.openxmlformats.org/officeDocument/2006/relationships" r:id="rId5"/>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bwMode="auto">
        <a:xfrm>
          <a:off x="4819650" y="621204"/>
          <a:ext cx="856339" cy="11980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552451</xdr:colOff>
      <xdr:row>4</xdr:row>
      <xdr:rowOff>47625</xdr:rowOff>
    </xdr:from>
    <xdr:to>
      <xdr:col>8</xdr:col>
      <xdr:colOff>689295</xdr:colOff>
      <xdr:row>27</xdr:row>
      <xdr:rowOff>9525</xdr:rowOff>
    </xdr:to>
    <xdr:pic>
      <xdr:nvPicPr>
        <xdr:cNvPr id="4" name="3 Imagen">
          <a:hlinkClick xmlns:r="http://schemas.openxmlformats.org/officeDocument/2006/relationships" r:id="rId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819776" y="619125"/>
          <a:ext cx="1660844" cy="115252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bit.ly/2FHeNwQ" TargetMode="External"/><Relationship Id="rId2" Type="http://schemas.openxmlformats.org/officeDocument/2006/relationships/hyperlink" Target="http://bit.ly/2FHeNwQ" TargetMode="External"/><Relationship Id="rId1" Type="http://schemas.openxmlformats.org/officeDocument/2006/relationships/hyperlink" Target="http://www.jezl-auditores.com/"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46"/>
  <sheetViews>
    <sheetView tabSelected="1" workbookViewId="0">
      <selection activeCell="E2" sqref="E2"/>
    </sheetView>
  </sheetViews>
  <sheetFormatPr baseColWidth="10" defaultRowHeight="15" x14ac:dyDescent="0.25"/>
  <cols>
    <col min="1" max="1" width="36.5703125" customWidth="1"/>
    <col min="2" max="2" width="3.5703125" customWidth="1"/>
    <col min="3" max="3" width="3.28515625" customWidth="1"/>
    <col min="5" max="5" width="12.7109375" style="6" customWidth="1"/>
  </cols>
  <sheetData>
    <row r="1" spans="1:6" x14ac:dyDescent="0.25">
      <c r="A1" t="s">
        <v>40</v>
      </c>
      <c r="E1" s="11">
        <v>2546</v>
      </c>
      <c r="F1" s="6"/>
    </row>
    <row r="2" spans="1:6" x14ac:dyDescent="0.25">
      <c r="A2" t="s">
        <v>58</v>
      </c>
      <c r="E2" s="11">
        <v>6000</v>
      </c>
      <c r="F2" s="6" t="s">
        <v>60</v>
      </c>
    </row>
    <row r="3" spans="1:6" x14ac:dyDescent="0.25">
      <c r="A3" t="s">
        <v>50</v>
      </c>
      <c r="E3" s="11">
        <f>+E1+E1+450</f>
        <v>5542</v>
      </c>
      <c r="F3" s="6" t="s">
        <v>57</v>
      </c>
    </row>
    <row r="5" spans="1:6" x14ac:dyDescent="0.25">
      <c r="A5" t="s">
        <v>31</v>
      </c>
      <c r="D5" t="s">
        <v>51</v>
      </c>
    </row>
    <row r="6" spans="1:6" x14ac:dyDescent="0.25">
      <c r="A6" t="s">
        <v>32</v>
      </c>
      <c r="D6" s="6">
        <f>+D35</f>
        <v>1854.6212000000003</v>
      </c>
    </row>
    <row r="7" spans="1:6" x14ac:dyDescent="0.25">
      <c r="A7" t="s">
        <v>38</v>
      </c>
      <c r="D7" s="6">
        <f>+E35</f>
        <v>165.51990000000001</v>
      </c>
    </row>
    <row r="8" spans="1:6" x14ac:dyDescent="0.25">
      <c r="A8" t="s">
        <v>39</v>
      </c>
      <c r="D8" s="6">
        <f>+F35</f>
        <v>2287.6958000000004</v>
      </c>
    </row>
    <row r="9" spans="1:6" x14ac:dyDescent="0.25">
      <c r="A9" t="s">
        <v>54</v>
      </c>
      <c r="D9" s="6">
        <f>+Tabla!D34</f>
        <v>36094</v>
      </c>
    </row>
    <row r="10" spans="1:6" hidden="1" x14ac:dyDescent="0.25"/>
    <row r="11" spans="1:6" hidden="1" x14ac:dyDescent="0.25"/>
    <row r="12" spans="1:6" hidden="1" x14ac:dyDescent="0.25"/>
    <row r="13" spans="1:6" hidden="1" x14ac:dyDescent="0.25"/>
    <row r="14" spans="1:6" hidden="1" x14ac:dyDescent="0.25"/>
    <row r="15" spans="1:6" hidden="1" x14ac:dyDescent="0.25"/>
    <row r="16" spans="1:6" hidden="1" x14ac:dyDescent="0.25"/>
    <row r="17" spans="1:11" hidden="1" x14ac:dyDescent="0.25"/>
    <row r="18" spans="1:11" hidden="1" x14ac:dyDescent="0.25"/>
    <row r="19" spans="1:11" hidden="1" x14ac:dyDescent="0.25"/>
    <row r="20" spans="1:11" hidden="1" x14ac:dyDescent="0.25"/>
    <row r="21" spans="1:11" ht="53.25" hidden="1" customHeight="1" x14ac:dyDescent="0.25">
      <c r="B21" s="8"/>
      <c r="C21" s="23"/>
      <c r="D21" s="23"/>
      <c r="E21" s="23"/>
      <c r="F21" s="23"/>
      <c r="G21" s="23"/>
      <c r="H21" s="23"/>
      <c r="I21" s="23"/>
      <c r="J21" s="23"/>
      <c r="K21" s="23"/>
    </row>
    <row r="22" spans="1:11" ht="45" hidden="1" customHeight="1" x14ac:dyDescent="0.25">
      <c r="B22" s="8" t="s">
        <v>11</v>
      </c>
      <c r="C22" s="24" t="s">
        <v>16</v>
      </c>
      <c r="D22" s="24"/>
      <c r="E22" s="24"/>
      <c r="F22" s="24"/>
      <c r="G22" s="24"/>
      <c r="H22" s="24"/>
      <c r="I22" s="24"/>
      <c r="J22" s="24"/>
      <c r="K22" s="24"/>
    </row>
    <row r="23" spans="1:11" ht="61.5" hidden="1" customHeight="1" x14ac:dyDescent="0.25">
      <c r="A23" s="10" t="s">
        <v>23</v>
      </c>
      <c r="B23" s="8" t="s">
        <v>12</v>
      </c>
      <c r="C23" s="23" t="s">
        <v>17</v>
      </c>
      <c r="D23" s="23"/>
      <c r="E23" s="23"/>
      <c r="F23" s="23"/>
      <c r="G23" s="23"/>
      <c r="H23" s="23"/>
      <c r="I23" s="23"/>
      <c r="J23" s="23"/>
      <c r="K23" s="23"/>
    </row>
    <row r="24" spans="1:11" ht="42.75" hidden="1" customHeight="1" x14ac:dyDescent="0.25">
      <c r="B24" s="8" t="s">
        <v>13</v>
      </c>
      <c r="C24" s="24" t="s">
        <v>18</v>
      </c>
      <c r="D24" s="24"/>
      <c r="E24" s="24"/>
      <c r="F24" s="24"/>
      <c r="G24" s="24"/>
      <c r="H24" s="24"/>
      <c r="I24" s="24"/>
      <c r="J24" s="24"/>
      <c r="K24" s="24"/>
    </row>
    <row r="25" spans="1:11" ht="28.5" hidden="1" customHeight="1" x14ac:dyDescent="0.25">
      <c r="B25" s="8" t="s">
        <v>14</v>
      </c>
      <c r="C25" s="23" t="s">
        <v>29</v>
      </c>
      <c r="D25" s="23"/>
      <c r="E25" s="23"/>
      <c r="F25" s="23"/>
      <c r="G25" s="23"/>
      <c r="H25" s="23"/>
      <c r="I25" s="23"/>
      <c r="J25" s="23"/>
      <c r="K25" s="23"/>
    </row>
    <row r="26" spans="1:11" ht="45" hidden="1" customHeight="1" x14ac:dyDescent="0.25">
      <c r="B26" s="8" t="s">
        <v>15</v>
      </c>
      <c r="C26" s="24" t="s">
        <v>19</v>
      </c>
      <c r="D26" s="24"/>
      <c r="E26" s="24"/>
      <c r="F26" s="24"/>
      <c r="G26" s="24"/>
      <c r="H26" s="24"/>
      <c r="I26" s="24"/>
      <c r="J26" s="24"/>
      <c r="K26" s="24"/>
    </row>
    <row r="27" spans="1:11" ht="18.75" customHeight="1" x14ac:dyDescent="0.25">
      <c r="B27" s="8"/>
      <c r="C27" s="21"/>
      <c r="D27" s="21"/>
      <c r="E27" s="21"/>
      <c r="F27" s="21"/>
      <c r="G27" s="21"/>
      <c r="H27" s="21"/>
      <c r="I27" s="21"/>
      <c r="J27" s="21"/>
      <c r="K27" s="21"/>
    </row>
    <row r="28" spans="1:11" x14ac:dyDescent="0.25">
      <c r="E28"/>
    </row>
    <row r="29" spans="1:11" x14ac:dyDescent="0.25">
      <c r="A29" t="s">
        <v>20</v>
      </c>
      <c r="F29" t="s">
        <v>35</v>
      </c>
      <c r="I29" s="22">
        <v>719.65</v>
      </c>
      <c r="J29" t="s">
        <v>61</v>
      </c>
    </row>
    <row r="30" spans="1:11" ht="15.75" x14ac:dyDescent="0.25">
      <c r="A30" t="s">
        <v>21</v>
      </c>
      <c r="D30" s="17" t="s">
        <v>33</v>
      </c>
      <c r="E30" s="18" t="s">
        <v>36</v>
      </c>
      <c r="F30" s="17" t="s">
        <v>37</v>
      </c>
      <c r="G30" s="10" t="s">
        <v>25</v>
      </c>
      <c r="J30" s="10" t="s">
        <v>28</v>
      </c>
    </row>
    <row r="31" spans="1:11" ht="9" customHeight="1" x14ac:dyDescent="0.25">
      <c r="D31" s="6"/>
      <c r="F31" s="6"/>
    </row>
    <row r="32" spans="1:11" x14ac:dyDescent="0.25">
      <c r="A32" s="7" t="s">
        <v>0</v>
      </c>
      <c r="D32" s="6">
        <f>+E1*12</f>
        <v>30552</v>
      </c>
      <c r="E32" s="6">
        <f>+D32</f>
        <v>30552</v>
      </c>
      <c r="F32" s="6">
        <f>+E32</f>
        <v>30552</v>
      </c>
    </row>
    <row r="33" spans="1:10" x14ac:dyDescent="0.25">
      <c r="A33" s="7" t="s">
        <v>1</v>
      </c>
      <c r="D33" s="6">
        <f>+D32*0.0945</f>
        <v>2887.1640000000002</v>
      </c>
      <c r="E33" s="6">
        <v>0</v>
      </c>
      <c r="F33" s="6">
        <v>0</v>
      </c>
    </row>
    <row r="34" spans="1:10" x14ac:dyDescent="0.25">
      <c r="A34" t="s">
        <v>3</v>
      </c>
      <c r="D34" s="6">
        <f>+D32-D33</f>
        <v>27664.835999999999</v>
      </c>
      <c r="E34" s="6">
        <f t="shared" ref="E34:F34" si="0">+E32-E33</f>
        <v>30552</v>
      </c>
      <c r="F34" s="6">
        <f t="shared" si="0"/>
        <v>30552</v>
      </c>
    </row>
    <row r="35" spans="1:10" x14ac:dyDescent="0.25">
      <c r="A35" t="s">
        <v>4</v>
      </c>
      <c r="D35" s="6">
        <f>+Tabla!G31</f>
        <v>1854.6212000000003</v>
      </c>
      <c r="E35" s="6">
        <f>+Tabla!G46</f>
        <v>165.51990000000001</v>
      </c>
      <c r="F35" s="6">
        <f>+Tabla!I31</f>
        <v>2287.6958000000004</v>
      </c>
    </row>
    <row r="36" spans="1:10" x14ac:dyDescent="0.25">
      <c r="A36" t="s">
        <v>47</v>
      </c>
      <c r="D36" s="6">
        <f>IF(Tabla!D34&gt;Tabla!D35,Tabla!D53,Tabla!D52)</f>
        <v>503.75500000000005</v>
      </c>
    </row>
    <row r="37" spans="1:10" x14ac:dyDescent="0.25">
      <c r="A37" t="s">
        <v>55</v>
      </c>
      <c r="D37" s="11"/>
      <c r="E37" s="6" t="s">
        <v>59</v>
      </c>
    </row>
    <row r="38" spans="1:10" x14ac:dyDescent="0.25">
      <c r="A38" t="s">
        <v>48</v>
      </c>
      <c r="D38" s="6">
        <f>IF((D35-D36-D37)&lt;0,0,+D35-D36-D37)</f>
        <v>1350.8662000000002</v>
      </c>
      <c r="G38" s="23"/>
      <c r="H38" s="23"/>
      <c r="I38" s="23"/>
      <c r="J38" s="23"/>
    </row>
    <row r="39" spans="1:10" x14ac:dyDescent="0.25">
      <c r="A39" t="s">
        <v>56</v>
      </c>
      <c r="D39" s="11">
        <v>12</v>
      </c>
      <c r="E39" s="6" t="s">
        <v>59</v>
      </c>
    </row>
    <row r="40" spans="1:10" x14ac:dyDescent="0.25">
      <c r="A40" t="s">
        <v>49</v>
      </c>
      <c r="D40" s="6">
        <f>+D38/D39</f>
        <v>112.57218333333334</v>
      </c>
    </row>
    <row r="44" spans="1:10" x14ac:dyDescent="0.25">
      <c r="A44" s="9" t="s">
        <v>2</v>
      </c>
      <c r="D44" s="6">
        <f>+E4</f>
        <v>0</v>
      </c>
      <c r="E44" s="6">
        <v>0</v>
      </c>
      <c r="F44" s="6">
        <f>+D44</f>
        <v>0</v>
      </c>
    </row>
    <row r="45" spans="1:10" x14ac:dyDescent="0.25">
      <c r="A45" t="s">
        <v>52</v>
      </c>
      <c r="D45" s="6">
        <f>+Tabla!D54</f>
        <v>0</v>
      </c>
    </row>
    <row r="46" spans="1:10" x14ac:dyDescent="0.25">
      <c r="A46" t="s">
        <v>53</v>
      </c>
      <c r="D46" s="6">
        <f>+Tabla!D55</f>
        <v>0</v>
      </c>
    </row>
  </sheetData>
  <sheetProtection algorithmName="SHA-512" hashValue="u+KqQLUX1SiLrL9GfN8375pbKkHEFDbJVzcDL0qpvGD1squ2sW6dGFtk2NpJv6mFXNHJVruENdkzRvkhO4zAAQ==" saltValue="vYUOEKKZEbmbD9ogz94P4A==" spinCount="100000" sheet="1" objects="1" scenarios="1" selectLockedCells="1"/>
  <mergeCells count="7">
    <mergeCell ref="G38:J38"/>
    <mergeCell ref="C26:K26"/>
    <mergeCell ref="C21:K21"/>
    <mergeCell ref="C22:K22"/>
    <mergeCell ref="C23:K23"/>
    <mergeCell ref="C24:K24"/>
    <mergeCell ref="C25:K25"/>
  </mergeCells>
  <hyperlinks>
    <hyperlink ref="A23" r:id="rId1" xr:uid="{00000000-0004-0000-0000-000000000000}"/>
    <hyperlink ref="G30" r:id="rId2" display="Aplicación impuestos Ecuador" xr:uid="{00000000-0004-0000-0000-000001000000}"/>
    <hyperlink ref="J30" r:id="rId3" xr:uid="{00000000-0004-0000-0000-000002000000}"/>
  </hyperlinks>
  <printOptions horizontalCentered="1"/>
  <pageMargins left="0.70866141732283472" right="0.70866141732283472" top="0.74803149606299213" bottom="0.74803149606299213" header="0.31496062992125984" footer="0.31496062992125984"/>
  <pageSetup paperSize="9" scale="76" orientation="landscape"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3"/>
  <sheetViews>
    <sheetView workbookViewId="0"/>
  </sheetViews>
  <sheetFormatPr baseColWidth="10" defaultRowHeight="15" x14ac:dyDescent="0.25"/>
  <cols>
    <col min="6" max="7" width="11.42578125" hidden="1" customWidth="1"/>
    <col min="8" max="9" width="0" hidden="1" customWidth="1"/>
  </cols>
  <sheetData>
    <row r="1" spans="1:7" x14ac:dyDescent="0.25">
      <c r="A1" s="12" t="s">
        <v>22</v>
      </c>
      <c r="B1" s="13"/>
      <c r="C1" s="1"/>
      <c r="D1" s="1"/>
      <c r="E1" s="2"/>
      <c r="F1" s="1"/>
      <c r="G1" s="1"/>
    </row>
    <row r="2" spans="1:7" hidden="1" x14ac:dyDescent="0.25">
      <c r="A2" s="12"/>
      <c r="B2" s="14">
        <f>+Resumen!D34</f>
        <v>27664.835999999999</v>
      </c>
      <c r="C2" s="1"/>
      <c r="D2" s="1"/>
      <c r="E2" s="2"/>
      <c r="F2" s="1"/>
      <c r="G2" s="1"/>
    </row>
    <row r="3" spans="1:7" hidden="1" x14ac:dyDescent="0.25">
      <c r="A3" s="5"/>
      <c r="B3" s="1" t="s">
        <v>5</v>
      </c>
      <c r="C3" s="1" t="s">
        <v>6</v>
      </c>
      <c r="D3" s="1" t="s">
        <v>7</v>
      </c>
      <c r="E3" s="2" t="s">
        <v>8</v>
      </c>
      <c r="F3" s="1" t="s">
        <v>9</v>
      </c>
      <c r="G3" s="1" t="s">
        <v>8</v>
      </c>
    </row>
    <row r="4" spans="1:7" hidden="1" x14ac:dyDescent="0.25">
      <c r="A4" s="5"/>
      <c r="B4" s="3">
        <v>0</v>
      </c>
      <c r="C4" s="3">
        <v>11212</v>
      </c>
      <c r="D4" s="3">
        <v>0</v>
      </c>
      <c r="E4" s="2">
        <v>0</v>
      </c>
      <c r="F4" s="1">
        <f>IF(B$2&lt;B4,0,IF(B$2&gt;C4,0,B$2))</f>
        <v>0</v>
      </c>
      <c r="G4" s="4">
        <f>IF(F4=0,0,((F4-B4)*E4)+D4)</f>
        <v>0</v>
      </c>
    </row>
    <row r="5" spans="1:7" hidden="1" x14ac:dyDescent="0.25">
      <c r="A5" s="5"/>
      <c r="B5" s="3">
        <f t="shared" ref="B5:B12" si="0">+C4</f>
        <v>11212</v>
      </c>
      <c r="C5" s="3">
        <v>14285</v>
      </c>
      <c r="D5" s="3">
        <f>(+C4-B4)*E4</f>
        <v>0</v>
      </c>
      <c r="E5" s="2">
        <v>0.05</v>
      </c>
      <c r="F5" s="1">
        <f t="shared" ref="F5:F11" si="1">IF(B$2&lt;B5,0,IF(B$2&gt;C5,0,B$2))</f>
        <v>0</v>
      </c>
      <c r="G5" s="4">
        <f t="shared" ref="G5:G12" si="2">IF(F5=0,0,((F5-B5)*E5)+D5)</f>
        <v>0</v>
      </c>
    </row>
    <row r="6" spans="1:7" hidden="1" x14ac:dyDescent="0.25">
      <c r="A6" s="5"/>
      <c r="B6" s="3">
        <f t="shared" si="0"/>
        <v>14285</v>
      </c>
      <c r="C6" s="3">
        <v>17854</v>
      </c>
      <c r="D6" s="3">
        <f>+D5+((C5-B5)*E5)</f>
        <v>153.65</v>
      </c>
      <c r="E6" s="2">
        <v>0.1</v>
      </c>
      <c r="F6" s="1">
        <f t="shared" si="1"/>
        <v>0</v>
      </c>
      <c r="G6" s="4">
        <f t="shared" si="2"/>
        <v>0</v>
      </c>
    </row>
    <row r="7" spans="1:7" hidden="1" x14ac:dyDescent="0.25">
      <c r="A7" s="5"/>
      <c r="B7" s="3">
        <f t="shared" si="0"/>
        <v>17854</v>
      </c>
      <c r="C7" s="3">
        <v>21442</v>
      </c>
      <c r="D7" s="3">
        <f t="shared" ref="D7:D11" si="3">+D6+((C6-B6)*E6)</f>
        <v>510.55000000000007</v>
      </c>
      <c r="E7" s="2">
        <v>0.12</v>
      </c>
      <c r="F7" s="1">
        <f t="shared" si="1"/>
        <v>0</v>
      </c>
      <c r="G7" s="4">
        <f t="shared" si="2"/>
        <v>0</v>
      </c>
    </row>
    <row r="8" spans="1:7" hidden="1" x14ac:dyDescent="0.25">
      <c r="A8" s="5"/>
      <c r="B8" s="3">
        <f t="shared" si="0"/>
        <v>21442</v>
      </c>
      <c r="C8" s="3">
        <v>42874</v>
      </c>
      <c r="D8" s="3">
        <f t="shared" si="3"/>
        <v>941.11000000000013</v>
      </c>
      <c r="E8" s="2">
        <v>0.15</v>
      </c>
      <c r="F8" s="1">
        <f t="shared" si="1"/>
        <v>27664.835999999999</v>
      </c>
      <c r="G8" s="4">
        <f t="shared" si="2"/>
        <v>1874.5354</v>
      </c>
    </row>
    <row r="9" spans="1:7" hidden="1" x14ac:dyDescent="0.25">
      <c r="A9" s="5"/>
      <c r="B9" s="3">
        <f t="shared" si="0"/>
        <v>42874</v>
      </c>
      <c r="C9" s="3">
        <v>64297</v>
      </c>
      <c r="D9" s="3">
        <f t="shared" si="3"/>
        <v>4155.91</v>
      </c>
      <c r="E9" s="2">
        <v>0.2</v>
      </c>
      <c r="F9" s="1">
        <f t="shared" si="1"/>
        <v>0</v>
      </c>
      <c r="G9" s="4">
        <f t="shared" si="2"/>
        <v>0</v>
      </c>
    </row>
    <row r="10" spans="1:7" hidden="1" x14ac:dyDescent="0.25">
      <c r="A10" s="5"/>
      <c r="B10" s="3">
        <f t="shared" si="0"/>
        <v>64297</v>
      </c>
      <c r="C10" s="3">
        <v>85729</v>
      </c>
      <c r="D10" s="3">
        <f>+D9+((C9-B9)*E9)-0.51</f>
        <v>8440</v>
      </c>
      <c r="E10" s="2">
        <v>0.25</v>
      </c>
      <c r="F10" s="1">
        <f t="shared" si="1"/>
        <v>0</v>
      </c>
      <c r="G10" s="4">
        <f t="shared" si="2"/>
        <v>0</v>
      </c>
    </row>
    <row r="11" spans="1:7" hidden="1" x14ac:dyDescent="0.25">
      <c r="A11" s="5"/>
      <c r="B11" s="3">
        <f t="shared" si="0"/>
        <v>85729</v>
      </c>
      <c r="C11" s="3">
        <v>114288</v>
      </c>
      <c r="D11" s="3">
        <f t="shared" si="3"/>
        <v>13798</v>
      </c>
      <c r="E11" s="2">
        <v>0.3</v>
      </c>
      <c r="F11" s="1">
        <f t="shared" si="1"/>
        <v>0</v>
      </c>
      <c r="G11" s="4">
        <f t="shared" si="2"/>
        <v>0</v>
      </c>
    </row>
    <row r="12" spans="1:7" hidden="1" x14ac:dyDescent="0.25">
      <c r="A12" s="5"/>
      <c r="B12" s="3">
        <f t="shared" si="0"/>
        <v>114288</v>
      </c>
      <c r="C12" s="3"/>
      <c r="D12" s="3">
        <f>+D11+((C11-B11)*E11)+0.3</f>
        <v>22365.999999999996</v>
      </c>
      <c r="E12" s="2">
        <v>0.35</v>
      </c>
      <c r="F12" s="1">
        <f>IF(B$2&lt;B12,0,B$2)</f>
        <v>0</v>
      </c>
      <c r="G12" s="4">
        <f t="shared" si="2"/>
        <v>0</v>
      </c>
    </row>
    <row r="13" spans="1:7" hidden="1" x14ac:dyDescent="0.25">
      <c r="A13" s="5"/>
      <c r="B13" s="1" t="s">
        <v>10</v>
      </c>
      <c r="C13" s="1"/>
      <c r="D13" s="1"/>
      <c r="E13" s="2"/>
      <c r="F13" s="1"/>
      <c r="G13" s="4">
        <f>SUM(G4:G12)</f>
        <v>1874.5354</v>
      </c>
    </row>
    <row r="14" spans="1:7" hidden="1" x14ac:dyDescent="0.25"/>
    <row r="15" spans="1:7" hidden="1" x14ac:dyDescent="0.25">
      <c r="B15" t="s">
        <v>24</v>
      </c>
      <c r="D15" s="1">
        <f>+C4*1.3</f>
        <v>14575.6</v>
      </c>
    </row>
    <row r="16" spans="1:7" hidden="1" x14ac:dyDescent="0.25">
      <c r="B16" t="s">
        <v>27</v>
      </c>
      <c r="D16" s="1">
        <f>+C4*2</f>
        <v>22424</v>
      </c>
    </row>
    <row r="17" spans="2:9" hidden="1" x14ac:dyDescent="0.25">
      <c r="B17" t="s">
        <v>26</v>
      </c>
      <c r="D17" s="3">
        <v>100000</v>
      </c>
    </row>
    <row r="19" spans="2:9" hidden="1" x14ac:dyDescent="0.25">
      <c r="B19" s="1">
        <f>+Resumen!D34</f>
        <v>27664.835999999999</v>
      </c>
      <c r="C19" s="6">
        <f>+Resumen!F34</f>
        <v>30552</v>
      </c>
      <c r="F19" s="25" t="s">
        <v>33</v>
      </c>
      <c r="G19" s="25"/>
      <c r="H19" s="25" t="s">
        <v>34</v>
      </c>
      <c r="I19" s="25"/>
    </row>
    <row r="20" spans="2:9" x14ac:dyDescent="0.25">
      <c r="B20" s="19" t="s">
        <v>5</v>
      </c>
      <c r="C20" s="19" t="s">
        <v>6</v>
      </c>
      <c r="D20" s="19" t="s">
        <v>7</v>
      </c>
      <c r="E20" s="20" t="s">
        <v>8</v>
      </c>
      <c r="F20" s="1" t="s">
        <v>9</v>
      </c>
      <c r="G20" s="1" t="s">
        <v>8</v>
      </c>
    </row>
    <row r="21" spans="2:9" x14ac:dyDescent="0.25">
      <c r="B21" s="3">
        <v>0</v>
      </c>
      <c r="C21" s="3">
        <v>11310</v>
      </c>
      <c r="D21" s="1">
        <v>0</v>
      </c>
      <c r="E21" s="2">
        <v>0</v>
      </c>
      <c r="F21" s="1">
        <f t="shared" ref="F21:F29" si="4">IF(B$19&lt;B21,0,IF(B$19&gt;C21,0,B$19))</f>
        <v>0</v>
      </c>
      <c r="G21" s="16">
        <f>IF(F21=0,0,((F21-B21)*E21)+D21)</f>
        <v>0</v>
      </c>
      <c r="H21" s="1">
        <f t="shared" ref="H21:H29" si="5">IF(C$19&lt;B21,0,IF(C$19&gt;C21,0,C$19))</f>
        <v>0</v>
      </c>
      <c r="I21" s="16">
        <f>IF(H21=0,0,((H21-B21)*E21)+D21)</f>
        <v>0</v>
      </c>
    </row>
    <row r="22" spans="2:9" x14ac:dyDescent="0.25">
      <c r="B22" s="3">
        <f>+C21+0.01</f>
        <v>11310.01</v>
      </c>
      <c r="C22" s="3">
        <v>14410</v>
      </c>
      <c r="D22" s="1">
        <v>0</v>
      </c>
      <c r="E22" s="2">
        <v>0.05</v>
      </c>
      <c r="F22" s="1">
        <f t="shared" si="4"/>
        <v>0</v>
      </c>
      <c r="G22" s="4">
        <f t="shared" ref="G22:G30" si="6">IF(F22=0,0,((F22-B22)*E22)+D22)</f>
        <v>0</v>
      </c>
      <c r="H22" s="1">
        <f t="shared" si="5"/>
        <v>0</v>
      </c>
      <c r="I22" s="16">
        <f t="shared" ref="I22:I30" si="7">IF(H22=0,0,((H22-B22)*E22)+D22)</f>
        <v>0</v>
      </c>
    </row>
    <row r="23" spans="2:9" x14ac:dyDescent="0.25">
      <c r="B23" s="3">
        <f t="shared" ref="B23:B30" si="8">+C22+0.01</f>
        <v>14410.01</v>
      </c>
      <c r="C23" s="3">
        <v>18010</v>
      </c>
      <c r="D23" s="1">
        <f>+D22+((C22-B22)*E22)</f>
        <v>154.99950000000001</v>
      </c>
      <c r="E23" s="2">
        <v>0.1</v>
      </c>
      <c r="F23" s="1">
        <f t="shared" si="4"/>
        <v>0</v>
      </c>
      <c r="G23" s="4">
        <f t="shared" si="6"/>
        <v>0</v>
      </c>
      <c r="H23" s="1">
        <f t="shared" si="5"/>
        <v>0</v>
      </c>
      <c r="I23" s="16">
        <f t="shared" si="7"/>
        <v>0</v>
      </c>
    </row>
    <row r="24" spans="2:9" x14ac:dyDescent="0.25">
      <c r="B24" s="3">
        <f t="shared" si="8"/>
        <v>18010.009999999998</v>
      </c>
      <c r="C24" s="3">
        <v>21630</v>
      </c>
      <c r="D24" s="1">
        <f t="shared" ref="D24:D30" si="9">+D23+((C23-B23)*E23)</f>
        <v>514.99850000000004</v>
      </c>
      <c r="E24" s="2">
        <v>0.12</v>
      </c>
      <c r="F24" s="1">
        <f t="shared" si="4"/>
        <v>0</v>
      </c>
      <c r="G24" s="4">
        <f t="shared" si="6"/>
        <v>0</v>
      </c>
      <c r="H24" s="1">
        <f t="shared" si="5"/>
        <v>0</v>
      </c>
      <c r="I24" s="16">
        <f t="shared" si="7"/>
        <v>0</v>
      </c>
    </row>
    <row r="25" spans="2:9" x14ac:dyDescent="0.25">
      <c r="B25" s="3">
        <f t="shared" si="8"/>
        <v>21630.01</v>
      </c>
      <c r="C25" s="3">
        <v>31630</v>
      </c>
      <c r="D25" s="1">
        <f t="shared" si="9"/>
        <v>949.3973000000002</v>
      </c>
      <c r="E25" s="2">
        <v>0.15</v>
      </c>
      <c r="F25" s="1">
        <f t="shared" si="4"/>
        <v>27664.835999999999</v>
      </c>
      <c r="G25" s="4">
        <f t="shared" si="6"/>
        <v>1854.6212000000003</v>
      </c>
      <c r="H25" s="1">
        <f t="shared" si="5"/>
        <v>30552</v>
      </c>
      <c r="I25" s="16">
        <f t="shared" si="7"/>
        <v>2287.6958000000004</v>
      </c>
    </row>
    <row r="26" spans="2:9" x14ac:dyDescent="0.25">
      <c r="B26" s="3">
        <f t="shared" si="8"/>
        <v>31630.01</v>
      </c>
      <c r="C26" s="3">
        <v>41630</v>
      </c>
      <c r="D26" s="1">
        <f t="shared" si="9"/>
        <v>2449.3958000000002</v>
      </c>
      <c r="E26" s="2">
        <v>0.2</v>
      </c>
      <c r="F26" s="1">
        <f t="shared" si="4"/>
        <v>0</v>
      </c>
      <c r="G26" s="4">
        <f t="shared" si="6"/>
        <v>0</v>
      </c>
      <c r="H26" s="1">
        <f t="shared" si="5"/>
        <v>0</v>
      </c>
      <c r="I26" s="16">
        <f t="shared" si="7"/>
        <v>0</v>
      </c>
    </row>
    <row r="27" spans="2:9" x14ac:dyDescent="0.25">
      <c r="B27" s="3">
        <f t="shared" si="8"/>
        <v>41630.01</v>
      </c>
      <c r="C27" s="3">
        <v>51630</v>
      </c>
      <c r="D27" s="1">
        <f t="shared" si="9"/>
        <v>4449.3938000000007</v>
      </c>
      <c r="E27" s="2">
        <v>0.25</v>
      </c>
      <c r="F27" s="1">
        <f t="shared" si="4"/>
        <v>0</v>
      </c>
      <c r="G27" s="4">
        <f t="shared" si="6"/>
        <v>0</v>
      </c>
      <c r="H27" s="1">
        <f t="shared" si="5"/>
        <v>0</v>
      </c>
      <c r="I27" s="16">
        <f t="shared" si="7"/>
        <v>0</v>
      </c>
    </row>
    <row r="28" spans="2:9" x14ac:dyDescent="0.25">
      <c r="B28" s="3">
        <f t="shared" si="8"/>
        <v>51630.01</v>
      </c>
      <c r="C28" s="3">
        <v>61630</v>
      </c>
      <c r="D28" s="1">
        <f t="shared" si="9"/>
        <v>6949.3913000000002</v>
      </c>
      <c r="E28" s="2">
        <v>0.3</v>
      </c>
      <c r="F28" s="1">
        <f t="shared" si="4"/>
        <v>0</v>
      </c>
      <c r="G28" s="4">
        <f t="shared" si="6"/>
        <v>0</v>
      </c>
      <c r="H28" s="1">
        <f t="shared" si="5"/>
        <v>0</v>
      </c>
      <c r="I28" s="16">
        <f t="shared" si="7"/>
        <v>0</v>
      </c>
    </row>
    <row r="29" spans="2:9" x14ac:dyDescent="0.25">
      <c r="B29" s="3">
        <f t="shared" si="8"/>
        <v>61630.01</v>
      </c>
      <c r="C29" s="3">
        <v>100000</v>
      </c>
      <c r="D29" s="1">
        <f t="shared" si="9"/>
        <v>9949.3882999999987</v>
      </c>
      <c r="E29" s="2">
        <v>0.35</v>
      </c>
      <c r="F29" s="1">
        <f t="shared" si="4"/>
        <v>0</v>
      </c>
      <c r="G29" s="4">
        <f t="shared" si="6"/>
        <v>0</v>
      </c>
      <c r="H29" s="1">
        <f t="shared" si="5"/>
        <v>0</v>
      </c>
      <c r="I29" s="16">
        <f t="shared" si="7"/>
        <v>0</v>
      </c>
    </row>
    <row r="30" spans="2:9" x14ac:dyDescent="0.25">
      <c r="B30" s="3">
        <f t="shared" si="8"/>
        <v>100000.01</v>
      </c>
      <c r="C30" s="3"/>
      <c r="D30" s="1">
        <f t="shared" si="9"/>
        <v>23378.8848</v>
      </c>
      <c r="E30" s="2">
        <v>0.37</v>
      </c>
      <c r="F30" s="1">
        <f>IF(B$19&lt;B30,0,B$19)</f>
        <v>0</v>
      </c>
      <c r="G30" s="4">
        <f t="shared" si="6"/>
        <v>0</v>
      </c>
      <c r="H30" s="1">
        <f>IF(C$19&lt;B30,0,C$19)</f>
        <v>0</v>
      </c>
      <c r="I30" s="16">
        <f t="shared" si="7"/>
        <v>0</v>
      </c>
    </row>
    <row r="31" spans="2:9" hidden="1" x14ac:dyDescent="0.25">
      <c r="B31" s="1" t="s">
        <v>10</v>
      </c>
      <c r="C31" s="1"/>
      <c r="D31" s="1"/>
      <c r="E31" s="2"/>
      <c r="F31" s="1"/>
      <c r="G31" s="4">
        <f>SUM(G21:G30)</f>
        <v>1854.6212000000003</v>
      </c>
      <c r="H31" s="1"/>
      <c r="I31" s="4">
        <f>SUM(I21:I30)</f>
        <v>2287.6958000000004</v>
      </c>
    </row>
    <row r="34" spans="2:7" x14ac:dyDescent="0.25">
      <c r="B34" t="s">
        <v>54</v>
      </c>
      <c r="D34" s="1">
        <f>+Resumen!E1*12+Resumen!E3</f>
        <v>36094</v>
      </c>
    </row>
    <row r="35" spans="2:7" x14ac:dyDescent="0.25">
      <c r="B35" t="s">
        <v>30</v>
      </c>
      <c r="D35" s="1">
        <f>+C21*2.13</f>
        <v>24090.3</v>
      </c>
    </row>
    <row r="36" spans="2:7" x14ac:dyDescent="0.25">
      <c r="B36" t="s">
        <v>44</v>
      </c>
      <c r="D36" s="1">
        <f>+Resumen!I29*7</f>
        <v>5037.55</v>
      </c>
    </row>
    <row r="38" spans="2:7" hidden="1" x14ac:dyDescent="0.25">
      <c r="B38" s="6">
        <f>+Resumen!E34</f>
        <v>30552</v>
      </c>
    </row>
    <row r="39" spans="2:7" x14ac:dyDescent="0.25">
      <c r="B39" s="19" t="s">
        <v>5</v>
      </c>
      <c r="C39" s="19" t="s">
        <v>6</v>
      </c>
      <c r="D39" s="19" t="s">
        <v>7</v>
      </c>
      <c r="E39" s="20" t="s">
        <v>8</v>
      </c>
      <c r="F39" s="1" t="s">
        <v>9</v>
      </c>
      <c r="G39" s="1" t="s">
        <v>8</v>
      </c>
    </row>
    <row r="40" spans="2:7" x14ac:dyDescent="0.25">
      <c r="B40" s="3">
        <v>0</v>
      </c>
      <c r="C40" s="3">
        <v>20000</v>
      </c>
      <c r="D40" s="1">
        <v>60</v>
      </c>
      <c r="E40" s="15">
        <v>0</v>
      </c>
      <c r="F40" s="1">
        <f t="shared" ref="F40:F45" si="10">IF(B$38&lt;B40,0,IF(B$38&gt;C40,0,B$38))</f>
        <v>0</v>
      </c>
      <c r="G40" s="4">
        <f>IF(F40=0,0,((F40-B40)*E40)+D40)</f>
        <v>0</v>
      </c>
    </row>
    <row r="41" spans="2:7" x14ac:dyDescent="0.25">
      <c r="B41" s="3">
        <f>+C40+0.01</f>
        <v>20000.009999999998</v>
      </c>
      <c r="C41" s="3">
        <v>50000</v>
      </c>
      <c r="D41" s="1">
        <v>60</v>
      </c>
      <c r="E41" s="15">
        <v>0.01</v>
      </c>
      <c r="F41" s="1">
        <f t="shared" si="10"/>
        <v>30552</v>
      </c>
      <c r="G41" s="4">
        <f t="shared" ref="G41:G45" si="11">IF(F41=0,0,((F41-B41)*E41)+D41)</f>
        <v>165.51990000000001</v>
      </c>
    </row>
    <row r="42" spans="2:7" x14ac:dyDescent="0.25">
      <c r="B42" s="3">
        <f t="shared" ref="B42:B45" si="12">+C41+0.01</f>
        <v>50000.01</v>
      </c>
      <c r="C42" s="3">
        <v>75000</v>
      </c>
      <c r="D42" s="1">
        <f>+D41+((C41-B41)*E41)</f>
        <v>359.99990000000003</v>
      </c>
      <c r="E42" s="15">
        <v>1.2500000000000001E-2</v>
      </c>
      <c r="F42" s="1">
        <f t="shared" si="10"/>
        <v>0</v>
      </c>
      <c r="G42" s="4">
        <f t="shared" si="11"/>
        <v>0</v>
      </c>
    </row>
    <row r="43" spans="2:7" x14ac:dyDescent="0.25">
      <c r="B43" s="3">
        <f t="shared" si="12"/>
        <v>75000.009999999995</v>
      </c>
      <c r="C43" s="3">
        <v>100000</v>
      </c>
      <c r="D43" s="1">
        <f t="shared" ref="D43:D45" si="13">+D42+((C42-B42)*E42)</f>
        <v>672.499775</v>
      </c>
      <c r="E43" s="15">
        <v>1.4999999999999999E-2</v>
      </c>
      <c r="F43" s="1">
        <f t="shared" si="10"/>
        <v>0</v>
      </c>
      <c r="G43" s="4">
        <f t="shared" si="11"/>
        <v>0</v>
      </c>
    </row>
    <row r="44" spans="2:7" x14ac:dyDescent="0.25">
      <c r="B44" s="3">
        <f t="shared" si="12"/>
        <v>100000.01</v>
      </c>
      <c r="C44" s="3">
        <v>200000</v>
      </c>
      <c r="D44" s="1">
        <f t="shared" si="13"/>
        <v>1047.4996249999999</v>
      </c>
      <c r="E44" s="15">
        <v>1.7500000000000002E-2</v>
      </c>
      <c r="F44" s="1">
        <f t="shared" si="10"/>
        <v>0</v>
      </c>
      <c r="G44" s="4">
        <f t="shared" si="11"/>
        <v>0</v>
      </c>
    </row>
    <row r="45" spans="2:7" x14ac:dyDescent="0.25">
      <c r="B45" s="3">
        <f t="shared" si="12"/>
        <v>200000.01</v>
      </c>
      <c r="C45" s="3">
        <v>300000</v>
      </c>
      <c r="D45" s="1">
        <f t="shared" si="13"/>
        <v>2797.4994500000003</v>
      </c>
      <c r="E45" s="15">
        <v>0.02</v>
      </c>
      <c r="F45" s="1">
        <f t="shared" si="10"/>
        <v>0</v>
      </c>
      <c r="G45" s="4">
        <f t="shared" si="11"/>
        <v>0</v>
      </c>
    </row>
    <row r="46" spans="2:7" hidden="1" x14ac:dyDescent="0.25">
      <c r="B46" s="1" t="s">
        <v>10</v>
      </c>
      <c r="C46" s="1"/>
      <c r="D46" s="1"/>
      <c r="E46" s="2"/>
      <c r="F46" s="1"/>
      <c r="G46" s="4">
        <f>SUM(G40:G45)</f>
        <v>165.51990000000001</v>
      </c>
    </row>
    <row r="48" spans="2:7" x14ac:dyDescent="0.25">
      <c r="B48" t="s">
        <v>41</v>
      </c>
      <c r="D48" s="1"/>
    </row>
    <row r="49" spans="2:4" x14ac:dyDescent="0.25">
      <c r="B49" t="s">
        <v>44</v>
      </c>
      <c r="D49" s="1">
        <f>+D36</f>
        <v>5037.55</v>
      </c>
    </row>
    <row r="50" spans="2:4" x14ac:dyDescent="0.25">
      <c r="B50" t="s">
        <v>42</v>
      </c>
      <c r="D50" s="1">
        <f>+Resumen!E2</f>
        <v>6000</v>
      </c>
    </row>
    <row r="51" spans="2:4" x14ac:dyDescent="0.25">
      <c r="B51" t="s">
        <v>43</v>
      </c>
      <c r="D51" s="1">
        <f>IF(D50&lt;D49,D50,D49)</f>
        <v>5037.55</v>
      </c>
    </row>
    <row r="52" spans="2:4" x14ac:dyDescent="0.25">
      <c r="B52" t="s">
        <v>45</v>
      </c>
      <c r="D52" s="1">
        <f>+D51*0.2</f>
        <v>1007.5100000000001</v>
      </c>
    </row>
    <row r="53" spans="2:4" x14ac:dyDescent="0.25">
      <c r="B53" t="s">
        <v>46</v>
      </c>
      <c r="D53" s="1">
        <f>+D51*0.1</f>
        <v>503.75500000000005</v>
      </c>
    </row>
  </sheetData>
  <sheetProtection algorithmName="SHA-512" hashValue="Topbh3ivHU/eCaccSl/nSWaFDvW7JwmVLNfHp/SDrZgxcFdFRFegBmkHk7NvXcSygQGstfj15UtorIJWBR2fvw==" saltValue="RbOVi7hX93LbGWrvZwqZJg==" spinCount="100000" sheet="1" objects="1" scenarios="1" selectLockedCells="1"/>
  <mergeCells count="2">
    <mergeCell ref="F19:G19"/>
    <mergeCell ref="H19:I19"/>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Resumen</vt:lpstr>
      <vt:lpstr>Tabla</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Zapata</dc:creator>
  <cp:lastModifiedBy>GEMA</cp:lastModifiedBy>
  <cp:lastPrinted>2021-01-14T13:25:09Z</cp:lastPrinted>
  <dcterms:created xsi:type="dcterms:W3CDTF">2014-12-09T12:41:28Z</dcterms:created>
  <dcterms:modified xsi:type="dcterms:W3CDTF">2023-01-13T17:37:11Z</dcterms:modified>
</cp:coreProperties>
</file>